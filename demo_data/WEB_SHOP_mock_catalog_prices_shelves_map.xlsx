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3890ad194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9a2f5ce0e0f740b1"/>
    <x:sheet xmlns:r="http://schemas.openxmlformats.org/officeDocument/2006/relationships" name="Products_Import" sheetId="2" r:id="Re276ff5e715545a8"/>
    <x:sheet xmlns:r="http://schemas.openxmlformats.org/officeDocument/2006/relationships" name="Shelf_Locations" sheetId="3" r:id="R488c4e43569e4021"/>
    <x:sheet xmlns:r="http://schemas.openxmlformats.org/officeDocument/2006/relationships" name="Shopping_List" sheetId="4" r:id="R1abf596697eb44f4"/>
    <x:sheet xmlns:r="http://schemas.openxmlformats.org/officeDocument/2006/relationships" name="Scanner_Cart_Demo" sheetId="5" r:id="Rf6994937507c4015"/>
    <x:sheet xmlns:r="http://schemas.openxmlformats.org/officeDocument/2006/relationships" name="Store_Map_2D" sheetId="6" r:id="Rb3ad00051b01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 #,##0.00"/>
    <x:numFmt numFmtId="201" formatCode="0"/>
  </x:numFmts>
  <x:fonts count="10">
    <x:font>
      <x:sz val="11"/>
      <x:name val="Carlito"/>
    </x:font>
    <x:font>
      <x:b/>
      <x:sz val="19"/>
      <x:color rgb="FFFFFFFF"/>
      <x:name val="Carlito"/>
    </x:font>
    <x:font>
      <x:sz val="10"/>
      <x:color rgb="FF137C83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225D36"/>
      <x:name val="Carlito"/>
    </x:font>
    <x:font>
      <x:b/>
      <x:sz val="11"/>
      <x:color rgb="FF244A75"/>
      <x:name val="Carlito"/>
    </x:font>
    <x:font>
      <x:b/>
      <x:sz val="15"/>
      <x:color rgb="FF137C83"/>
      <x:name val="Carlito"/>
    </x:font>
    <x:font>
      <x:b/>
      <x:sz val="11"/>
      <x:color rgb="FF805E1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B3A"/>
      </x:patternFill>
    </x:fill>
    <x:fill>
      <x:patternFill patternType="solid">
        <x:fgColor rgb="FFE9F5F5"/>
      </x:patternFill>
    </x:fill>
    <x:fill>
      <x:patternFill patternType="solid">
        <x:fgColor rgb="FF137C83"/>
      </x:patternFill>
    </x:fill>
    <x:fill>
      <x:patternFill patternType="solid">
        <x:fgColor rgb="FFE2F2E6"/>
      </x:patternFill>
    </x:fill>
    <x:fill>
      <x:patternFill patternType="solid">
        <x:fgColor rgb="FFE6F0FA"/>
      </x:patternFill>
    </x:fill>
    <x:fill>
      <x:patternFill patternType="solid">
        <x:fgColor rgb="FFFFF1CF"/>
      </x:patternFill>
    </x:fill>
    <x:fill>
      <x:patternFill patternType="solid">
        <x:fgColor rgb="FFF5F8FB"/>
      </x:patternFill>
    </x:fill>
  </x:fills>
  <x:borders count="2">
    <x:border/>
    <x:border/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0" fontId="0" fillId="2" borderId="1" xfId="0" applyNumberFormat="1" applyFont="1" applyFill="1" applyBorder="1"/>
    <x:xf numFmtId="0" fontId="4" fillId="2" borderId="1" xfId="0" applyNumberFormat="1" applyFont="1" applyFill="1" applyBorder="1"/>
    <x:xf numFmtId="20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6afac141e47c5" /><Relationship Type="http://schemas.openxmlformats.org/officeDocument/2006/relationships/theme" Target="/xl/theme/theme1.xml" Id="R6adbe09788ce430e" /><Relationship Type="http://schemas.openxmlformats.org/officeDocument/2006/relationships/sharedStrings" Target="/xl/sharedStrings.xml" Id="Re009007c7b584535" /><Relationship Type="http://schemas.openxmlformats.org/officeDocument/2006/relationships/worksheet" Target="/xl/worksheets/sheet1.xml" Id="R9a2f5ce0e0f740b1" /><Relationship Type="http://schemas.openxmlformats.org/officeDocument/2006/relationships/worksheet" Target="/xl/worksheets/sheet2.xml" Id="Re276ff5e715545a8" /><Relationship Type="http://schemas.openxmlformats.org/officeDocument/2006/relationships/worksheet" Target="/xl/worksheets/sheet3.xml" Id="R488c4e43569e4021" /><Relationship Type="http://schemas.openxmlformats.org/officeDocument/2006/relationships/worksheet" Target="/xl/worksheets/sheet4.xml" Id="R1abf596697eb44f4" /><Relationship Type="http://schemas.openxmlformats.org/officeDocument/2006/relationships/worksheet" Target="/xl/worksheets/sheet5.xml" Id="Rf6994937507c4015" /><Relationship Type="http://schemas.openxmlformats.org/officeDocument/2006/relationships/worksheet" Target="/xl/worksheets/sheet6.xml" Id="Rb3ad00051b01491a" /></Relationships>
</file>

<file path=xl/tables/table1.xml><?xml version="1.0" encoding="utf-8"?>
<x:table xmlns:x="http://schemas.openxmlformats.org/spreadsheetml/2006/main" id="1" name="DemoProductCatalog" displayName="DemoProductCatalog" ref="A5:L19" headerRowCount="1" totalsRowCount="0" totalsRowShown="0">
  <x:tableColumns count="12">
    <x:tableColumn id="1" name="SKU"/>
    <x:tableColumn id="2" name="Product_Name"/>
    <x:tableColumn id="3" name="Brand"/>
    <x:tableColumn id="4" name="Variant_or_Size"/>
    <x:tableColumn id="5" name="Count_Unit"/>
    <x:tableColumn id="6" name="Price_EUR"/>
    <x:tableColumn id="7" name="Opening_Stock"/>
    <x:tableColumn id="8" name="Shelf_ID"/>
    <x:tableColumn id="9" name="Shelf_Level"/>
    <x:tableColumn id="10" name="Identity_Status"/>
    <x:tableColumn id="11" name="Source"/>
    <x:tableColumn id="12" name="Owner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wnerShelves" displayName="OwnerShelves" ref="A5:F13" headerRowCount="1" totalsRowCount="0" totalsRowShown="0">
  <x:tableColumns count="6">
    <x:tableColumn id="1" name="Shelf_ID"/>
    <x:tableColumn id="2" name="Zone"/>
    <x:tableColumn id="3" name="Aisle"/>
    <x:tableColumn id="4" name="Map_X"/>
    <x:tableColumn id="5" name="Map_Y"/>
    <x:tableColumn id="6" name="Owner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fa8910d0bd42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d5ef6f2a08442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3" max="3" width="11" hidden="0" customWidth="1"/>
    <x:col min="4" max="4" width="12" hidden="0" customWidth="1"/>
    <x:col min="5" max="5" width="4" hidden="0" customWidth="1"/>
    <x:col min="6" max="6" width="17" hidden="0" customWidth="1"/>
    <x:col min="7" max="7" width="15" hidden="0" customWidth="1"/>
    <x:col min="8" max="8" width="15" hidden="0" customWidth="1"/>
    <x:col min="9" max="9" width="17" hidden="0" customWidth="1"/>
    <x:col min="10" max="10" width="5" hidden="0" customWidth="1"/>
    <x:col min="11" max="11" width="5" hidden="0" customWidth="1"/>
  </x:cols>
  <x:sheetData>
    <x:row r="1" ht="22" customHeight="1">
      <x:c r="A1" s="4" t="str">
        <x:v>WEB&amp;SHOP | Mock store workbook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5" customHeight="1">
      <x:c r="A3" s="10" t="str">
        <x:v>Owner import + employee stock review + customer shopping list + illustrative shelf map.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70" t="str">
        <x:v>14 mock catalogue entries</x:v>
      </x:c>
      <x:c r="B5" s="70"/>
      <x:c r="C5" s="70"/>
      <x:c r="D5" s="70"/>
      <x:c r="F5" s="72" t="str">
        <x:v>8 traceable prior SKU IDs · 6 provisional demo IDs</x:v>
      </x:c>
      <x:c r="G5" s="72"/>
      <x:c r="H5" s="72"/>
      <x:c r="I5" s="72"/>
    </x:row>
    <x:row r="8" ht="39" customHeight="1">
      <x:c r="A8" s="75" t="str">
        <x:v>1. Products_Import</x:v>
      </x:c>
      <x:c r="B8" s="78" t="str">
        <x:v>Edit price, opening stock and shelf location. Verify product identity + SKU first.</x:v>
      </x:c>
    </x:row>
    <x:row r="9" ht="39" customHeight="1">
      <x:c r="A9" s="75" t="str">
        <x:v>2. Shelf_Locations</x:v>
      </x:c>
      <x:c r="B9" s="78" t="str">
        <x:v>Owner-defined shelf IDs are the source of the map and shopping directions.</x:v>
      </x:c>
    </x:row>
    <x:row r="10" ht="39" customHeight="1">
      <x:c r="A10" s="75" t="str">
        <x:v>3. Shopping_List</x:v>
      </x:c>
      <x:c r="B10" s="78" t="str">
        <x:v>Buyer chooses SKU + units; euro totals and remaining budget are formula-driven.</x:v>
      </x:c>
    </x:row>
    <x:row r="11" ht="39" customHeight="1">
      <x:c r="A11" s="75" t="str">
        <x:v>4. Scanner_Cart_Demo</x:v>
      </x:c>
      <x:c r="B11" s="78" t="str">
        <x:v>Illustrative unconfirmed scan cost calculator (no real model detections).</x:v>
      </x:c>
    </x:row>
    <x:row r="12" ht="39" customHeight="1">
      <x:c r="A12" s="75" t="str">
        <x:v>5. Store_Map_2D</x:v>
      </x:c>
      <x:c r="B12" s="78" t="str">
        <x:v>Simple editable visual demo; not a surveyed shop floor plan.</x:v>
      </x:c>
    </x:row>
    <x:row r="13" ht="39" customHeight="1">
      <x:c r="A13" s="75" t="str">
        <x:v>Import warning</x:v>
      </x:c>
      <x:c r="B13" s="78" t="str">
        <x:v>Current application import column schema was NOT inspected. Codex should map these columns before uploading.</x:v>
      </x:c>
    </x:row>
    <x:row r="14" ht="39" customHeight="1">
      <x:c r="A14" s="75" t="str">
        <x:v>Identity warning</x:v>
      </x:c>
      <x:c r="B14" s="78" t="str">
        <x:v>6 SKU IDs from screenshot, 2 from prior InventoryLens work, 6 invented DEMO IDs — confirm before using in live app.</x:v>
      </x:c>
    </x:row>
    <x:row r="15" ht="39" customHeight="1">
      <x:c r="A15" s="75" t="str">
        <x:v>Prices &amp; stock</x:v>
      </x:c>
      <x:c r="B15" s="78" t="str">
        <x:v>All prices, shelf placements, inventory quantities, and aisle locations are fictional sample data.</x:v>
      </x:c>
    </x:row>
    <x:row r="16" ht="39" customHeight="1">
      <x:c r="A16" s="75" t="str">
        <x:v>Stock actions</x:v>
      </x:c>
      <x:c r="B16" s="78" t="str">
        <x:v>AUDIT sets counted stock at a scope; ADD increases; SUBTRACT decreases; buyer carts do not change stock.</x:v>
      </x:c>
    </x:row>
    <x:row r="17" ht="39" customHeight="1">
      <x:c r="A17" s="75" t="str">
        <x:v>Do not auto-commit</x:v>
      </x:c>
      <x:c r="B17" s="78" t="str">
        <x:v>Employee must confirm reviewed quantities; new product registration is distinct from adding units of an existing SKU.</x:v>
      </x:c>
    </x:row>
    <x:row r="19" ht="26" customHeight="1">
      <x:c r="A19" s="80" t="str">
        <x:v>PROPOSED DEMO SHOP • prices shown in EUR • illustrative shelf grid only • no real inventory writes</x:v>
      </x:c>
      <x:c r="B19" s="80"/>
    </x:row>
    <x:row r="20" ht="26" customHeight="1">
      <x:c r="A20" s="80"/>
      <x:c r="B20" s="80"/>
    </x:row>
  </x:sheetData>
  <x:mergeCells>
    <x:mergeCell ref="A1:K2"/>
    <x:mergeCell ref="A3:K3"/>
    <x:mergeCell ref="A5:D5"/>
    <x:mergeCell ref="F5:I5"/>
    <x:mergeCell ref="A19:B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3" hidden="0" customWidth="1"/>
    <x:col min="3" max="3" width="15" hidden="0" customWidth="1"/>
    <x:col min="4" max="4" width="19" hidden="0" customWidth="1"/>
    <x:col min="5" max="5" width="15" hidden="0" customWidth="1"/>
    <x:col min="6" max="6" width="15" hidden="0" customWidth="1"/>
    <x:col min="7" max="7" width="16" hidden="0" customWidth="1"/>
    <x:col min="8" max="8" width="12" hidden="0" customWidth="1"/>
    <x:col min="9" max="9" width="14" hidden="0" customWidth="1"/>
    <x:col min="10" max="10" width="34" hidden="0" customWidth="1"/>
    <x:col min="11" max="11" width="27" hidden="0" customWidth="1"/>
    <x:col min="12" max="12" width="44" hidden="0" customWidth="1"/>
  </x:cols>
  <x:sheetData>
    <x:row r="1" ht="22" customHeight="1">
      <x:c r="A1" s="4" t="str">
        <x:v>WEB&amp;SHOP | Owner catalogue mock import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5" customHeight="1">
      <x:c r="A3" s="10" t="str">
        <x:v>Mock prices, stock and shelf positions. Six IDs transcribed from your screenshot; provisional IDs MUST be reconciled before import.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29" customHeight="1">
      <x:c r="A5" s="17" t="str">
        <x:v>SKU</x:v>
      </x:c>
      <x:c r="B5" s="17" t="str">
        <x:v>Product_Name</x:v>
      </x:c>
      <x:c r="C5" s="17" t="str">
        <x:v>Brand</x:v>
      </x:c>
      <x:c r="D5" s="17" t="str">
        <x:v>Variant_or_Size</x:v>
      </x:c>
      <x:c r="E5" s="17" t="str">
        <x:v>Count_Unit</x:v>
      </x:c>
      <x:c r="F5" s="17" t="str">
        <x:v>Price_EUR</x:v>
      </x:c>
      <x:c r="G5" s="17" t="str">
        <x:v>Opening_Stock</x:v>
      </x:c>
      <x:c r="H5" s="17" t="str">
        <x:v>Shelf_ID</x:v>
      </x:c>
      <x:c r="I5" s="17" t="str">
        <x:v>Shelf_Level</x:v>
      </x:c>
      <x:c r="J5" s="17" t="str">
        <x:v>Identity_Status</x:v>
      </x:c>
      <x:c r="K5" s="17" t="str">
        <x:v>Source</x:v>
      </x:c>
      <x:c r="L5" s="17" t="str">
        <x:v>Owner_Notes</x:v>
      </x:c>
    </x:row>
    <x:row r="6" ht="27" customHeight="1">
      <x:c r="A6" s="32" t="str">
        <x:v>DM-CURRY-325</x:v>
      </x:c>
      <x:c r="B6" s="26" t="str">
        <x:v>DM Curry (confirm product type)</x:v>
      </x:c>
      <x:c r="C6" s="26" t="str">
        <x:v>DM</x:v>
      </x:c>
      <x:c r="D6" s="26" t="str">
        <x:v>325 — verify</x:v>
      </x:c>
      <x:c r="E6" s="26" t="str">
        <x:v>piece</x:v>
      </x:c>
      <x:c r="F6" s="27" t="n">
        <x:v>2.49</x:v>
      </x:c>
      <x:c r="G6" s="28" t="n">
        <x:v>12</x:v>
      </x:c>
      <x:c r="H6" s="26" t="str">
        <x:v>D1</x:v>
      </x:c>
      <x:c r="I6" s="26" t="str">
        <x:v>Middle</x:v>
      </x:c>
      <x:c r="J6" s="26" t="str">
        <x:v>Screenshot SKU; verify product identity</x:v>
      </x:c>
      <x:c r="K6" s="26" t="str">
        <x:v>Visible in supplied screenshot</x:v>
      </x:c>
      <x:c r="L6" s="26" t="str">
        <x:v>All prices and stock amounts are fictional</x:v>
      </x:c>
    </x:row>
    <x:row r="7" ht="27" customHeight="1">
      <x:c r="A7" s="32" t="str">
        <x:v>FRESHONA-BEANS-800</x:v>
      </x:c>
      <x:c r="B7" s="26" t="str">
        <x:v>Freshona Beans</x:v>
      </x:c>
      <x:c r="C7" s="26" t="str">
        <x:v>Freshona</x:v>
      </x:c>
      <x:c r="D7" s="26" t="str">
        <x:v>800 — verify</x:v>
      </x:c>
      <x:c r="E7" s="26" t="str">
        <x:v>piece</x:v>
      </x:c>
      <x:c r="F7" s="27" t="n">
        <x:v>1.79</x:v>
      </x:c>
      <x:c r="G7" s="28" t="n">
        <x:v>18</x:v>
      </x:c>
      <x:c r="H7" s="26" t="str">
        <x:v>A1</x:v>
      </x:c>
      <x:c r="I7" s="26" t="str">
        <x:v>Bottom</x:v>
      </x:c>
      <x:c r="J7" s="26" t="str">
        <x:v>Screenshot SKU; verify variant</x:v>
      </x:c>
      <x:c r="K7" s="26" t="str">
        <x:v>Visible in supplied screenshot</x:v>
      </x:c>
      <x:c r="L7" s="26" t="str">
        <x:v>Mock price; confirm pack unit</x:v>
      </x:c>
    </x:row>
    <x:row r="8" ht="27" customHeight="1">
      <x:c r="A8" s="32" t="str">
        <x:v>ENERGIA-POWER-250</x:v>
      </x:c>
      <x:c r="B8" s="26" t="str">
        <x:v>Energia Power</x:v>
      </x:c>
      <x:c r="C8" s="26" t="str">
        <x:v>Energia</x:v>
      </x:c>
      <x:c r="D8" s="26" t="str">
        <x:v>250 — verify</x:v>
      </x:c>
      <x:c r="E8" s="26" t="str">
        <x:v>can</x:v>
      </x:c>
      <x:c r="F8" s="27" t="n">
        <x:v>1.59</x:v>
      </x:c>
      <x:c r="G8" s="28" t="n">
        <x:v>28</x:v>
      </x:c>
      <x:c r="H8" s="26" t="str">
        <x:v>C1</x:v>
      </x:c>
      <x:c r="I8" s="26" t="str">
        <x:v>Middle</x:v>
      </x:c>
      <x:c r="J8" s="26" t="str">
        <x:v>Screenshot SKU; verify variant</x:v>
      </x:c>
      <x:c r="K8" s="26" t="str">
        <x:v>Visible in supplied screenshot</x:v>
      </x:c>
      <x:c r="L8" s="26" t="str">
        <x:v>Mock price and stock</x:v>
      </x:c>
    </x:row>
    <x:row r="9" ht="27" customHeight="1">
      <x:c r="A9" s="32" t="str">
        <x:v>FENTIMANS-GINGER-200</x:v>
      </x:c>
      <x:c r="B9" s="26" t="str">
        <x:v>Fentimans Ginger</x:v>
      </x:c>
      <x:c r="C9" s="26" t="str">
        <x:v>Fentimans</x:v>
      </x:c>
      <x:c r="D9" s="26" t="str">
        <x:v>200 — verify</x:v>
      </x:c>
      <x:c r="E9" s="26" t="str">
        <x:v>bottle</x:v>
      </x:c>
      <x:c r="F9" s="27" t="n">
        <x:v>2.69</x:v>
      </x:c>
      <x:c r="G9" s="28" t="n">
        <x:v>10</x:v>
      </x:c>
      <x:c r="H9" s="26" t="str">
        <x:v>C2</x:v>
      </x:c>
      <x:c r="I9" s="26" t="str">
        <x:v>Top</x:v>
      </x:c>
      <x:c r="J9" s="26" t="str">
        <x:v>Screenshot SKU; verify variant</x:v>
      </x:c>
      <x:c r="K9" s="26" t="str">
        <x:v>Visible in supplied screenshot</x:v>
      </x:c>
      <x:c r="L9" s="26" t="str">
        <x:v>Mock price and stock</x:v>
      </x:c>
    </x:row>
    <x:row r="10" ht="27" customHeight="1">
      <x:c r="A10" s="32" t="str">
        <x:v>DUKAT-MLIJEKO-1000</x:v>
      </x:c>
      <x:c r="B10" s="26" t="str">
        <x:v>Dukat Milk</x:v>
      </x:c>
      <x:c r="C10" s="26" t="str">
        <x:v>Dukat</x:v>
      </x:c>
      <x:c r="D10" s="26" t="str">
        <x:v>1000 — verify</x:v>
      </x:c>
      <x:c r="E10" s="26" t="str">
        <x:v>carton</x:v>
      </x:c>
      <x:c r="F10" s="27" t="n">
        <x:v>1.45</x:v>
      </x:c>
      <x:c r="G10" s="28" t="n">
        <x:v>20</x:v>
      </x:c>
      <x:c r="H10" s="26" t="str">
        <x:v>D2</x:v>
      </x:c>
      <x:c r="I10" s="26" t="str">
        <x:v>Middle</x:v>
      </x:c>
      <x:c r="J10" s="26" t="str">
        <x:v>Screenshot SKU; verify variant</x:v>
      </x:c>
      <x:c r="K10" s="26" t="str">
        <x:v>Visible in supplied screenshot</x:v>
      </x:c>
      <x:c r="L10" s="26" t="str">
        <x:v>Mock price and stock</x:v>
      </x:c>
    </x:row>
    <x:row r="11" ht="27" customHeight="1">
      <x:c r="A11" s="32" t="str">
        <x:v>DM-FINTOPF-400</x:v>
      </x:c>
      <x:c r="B11" s="26" t="str">
        <x:v>DM Fintopf (verify spelling)</x:v>
      </x:c>
      <x:c r="C11" s="26" t="str">
        <x:v>DM</x:v>
      </x:c>
      <x:c r="D11" s="26" t="str">
        <x:v>400 — verify</x:v>
      </x:c>
      <x:c r="E11" s="26" t="str">
        <x:v>piece</x:v>
      </x:c>
      <x:c r="F11" s="27" t="n">
        <x:v>2.29</x:v>
      </x:c>
      <x:c r="G11" s="28" t="n">
        <x:v>14</x:v>
      </x:c>
      <x:c r="H11" s="26" t="str">
        <x:v>A1</x:v>
      </x:c>
      <x:c r="I11" s="26" t="str">
        <x:v>Top</x:v>
      </x:c>
      <x:c r="J11" s="26" t="str">
        <x:v>Screenshot SKU; verify product name</x:v>
      </x:c>
      <x:c r="K11" s="26" t="str">
        <x:v>Visible in supplied screenshot</x:v>
      </x:c>
      <x:c r="L11" s="26" t="str">
        <x:v>SKU code retained exactly from screenshot</x:v>
      </x:c>
    </x:row>
    <x:row r="12" ht="27" customHeight="1">
      <x:c r="A12" s="34" t="str">
        <x:v>VITAMINKA-STOBI-30</x:v>
      </x:c>
      <x:c r="B12" s="26" t="str">
        <x:v>Vitaminka Stobi</x:v>
      </x:c>
      <x:c r="C12" s="26" t="str">
        <x:v>Vitaminka</x:v>
      </x:c>
      <x:c r="D12" s="26" t="str">
        <x:v>30 — verify</x:v>
      </x:c>
      <x:c r="E12" s="26" t="str">
        <x:v>piece</x:v>
      </x:c>
      <x:c r="F12" s="27" t="n">
        <x:v>0.89</x:v>
      </x:c>
      <x:c r="G12" s="28" t="n">
        <x:v>24</x:v>
      </x:c>
      <x:c r="H12" s="26" t="str">
        <x:v>B1</x:v>
      </x:c>
      <x:c r="I12" s="26" t="str">
        <x:v>Middle</x:v>
      </x:c>
      <x:c r="J12" s="26" t="str">
        <x:v>Historical SKU; confirm in current shop</x:v>
      </x:c>
      <x:c r="K12" s="26" t="str">
        <x:v>Prior InventoryLens test</x:v>
      </x:c>
      <x:c r="L12" s="26" t="str">
        <x:v>Do not treat as current catalogue until confirmed</x:v>
      </x:c>
    </x:row>
    <x:row r="13" ht="27" customHeight="1">
      <x:c r="A13" s="34" t="str">
        <x:v>GARDENGOOD-PASSATA-200</x:v>
      </x:c>
      <x:c r="B13" s="26" t="str">
        <x:v>GardenGood Passata</x:v>
      </x:c>
      <x:c r="C13" s="26" t="str">
        <x:v>GardenGood</x:v>
      </x:c>
      <x:c r="D13" s="26" t="str">
        <x:v>200 — verify</x:v>
      </x:c>
      <x:c r="E13" s="26" t="str">
        <x:v>piece</x:v>
      </x:c>
      <x:c r="F13" s="27" t="n">
        <x:v>1.09</x:v>
      </x:c>
      <x:c r="G13" s="28" t="n">
        <x:v>15</x:v>
      </x:c>
      <x:c r="H13" s="26" t="str">
        <x:v>A2</x:v>
      </x:c>
      <x:c r="I13" s="26" t="str">
        <x:v>Bottom</x:v>
      </x:c>
      <x:c r="J13" s="26" t="str">
        <x:v>Historical SKU; confirm in current shop</x:v>
      </x:c>
      <x:c r="K13" s="26" t="str">
        <x:v>Prior InventoryLens test</x:v>
      </x:c>
      <x:c r="L13" s="26" t="str">
        <x:v>Do not treat as current catalogue until confirmed</x:v>
      </x:c>
    </x:row>
    <x:row r="14" ht="27" customHeight="1">
      <x:c r="A14" s="36" t="str">
        <x:v>DEMO-JANA-001</x:v>
      </x:c>
      <x:c r="B14" s="26" t="str">
        <x:v>Jana water (provisional)</x:v>
      </x:c>
      <x:c r="C14" s="26" t="str">
        <x:v>Jana</x:v>
      </x:c>
      <x:c r="D14" s="26" t="str">
        <x:v>unspecified</x:v>
      </x:c>
      <x:c r="E14" s="26" t="str">
        <x:v>bottle</x:v>
      </x:c>
      <x:c r="F14" s="27" t="n">
        <x:v>0.85</x:v>
      </x:c>
      <x:c r="G14" s="28" t="n">
        <x:v>30</x:v>
      </x:c>
      <x:c r="H14" s="26" t="str">
        <x:v>C2</x:v>
      </x:c>
      <x:c r="I14" s="26" t="str">
        <x:v>Bottom</x:v>
      </x:c>
      <x:c r="J14" s="26" t="str">
        <x:v>PROVISIONAL SKU — replace</x:v>
      </x:c>
      <x:c r="K14" s="26" t="str">
        <x:v>Known product family from prior tests</x:v>
      </x:c>
      <x:c r="L14" s="26" t="str">
        <x:v>Demo ID is invented, not an existing shop SKU</x:v>
      </x:c>
    </x:row>
    <x:row r="15" ht="27" customHeight="1">
      <x:c r="A15" s="36" t="str">
        <x:v>DEMO-OREO-001</x:v>
      </x:c>
      <x:c r="B15" s="26" t="str">
        <x:v>Oreo cookies (provisional)</x:v>
      </x:c>
      <x:c r="C15" s="26" t="str">
        <x:v>Oreo</x:v>
      </x:c>
      <x:c r="D15" s="26" t="str">
        <x:v>unspecified</x:v>
      </x:c>
      <x:c r="E15" s="26" t="str">
        <x:v>pack</x:v>
      </x:c>
      <x:c r="F15" s="27" t="n">
        <x:v>1.99</x:v>
      </x:c>
      <x:c r="G15" s="28" t="n">
        <x:v>22</x:v>
      </x:c>
      <x:c r="H15" s="26" t="str">
        <x:v>B2</x:v>
      </x:c>
      <x:c r="I15" s="26" t="str">
        <x:v>Middle</x:v>
      </x:c>
      <x:c r="J15" s="26" t="str">
        <x:v>PROVISIONAL SKU — replace</x:v>
      </x:c>
      <x:c r="K15" s="26" t="str">
        <x:v>Known product family from prior tests</x:v>
      </x:c>
      <x:c r="L15" s="26" t="str">
        <x:v>Demo ID is invented, not an existing shop SKU</x:v>
      </x:c>
    </x:row>
    <x:row r="16" ht="27" customHeight="1">
      <x:c r="A16" s="36" t="str">
        <x:v>DEMO-FRIPSY-001</x:v>
      </x:c>
      <x:c r="B16" s="26" t="str">
        <x:v>Fripsy / MAKS identity unresolved</x:v>
      </x:c>
      <x:c r="C16" s="26" t="str">
        <x:v>Unknown</x:v>
      </x:c>
      <x:c r="D16" s="26" t="str">
        <x:v>verify packet</x:v>
      </x:c>
      <x:c r="E16" s="26" t="str">
        <x:v>pack</x:v>
      </x:c>
      <x:c r="F16" s="27" t="n">
        <x:v>1.49</x:v>
      </x:c>
      <x:c r="G16" s="28" t="n">
        <x:v>25</x:v>
      </x:c>
      <x:c r="H16" s="26" t="str">
        <x:v>B1</x:v>
      </x:c>
      <x:c r="I16" s="26" t="str">
        <x:v>Top</x:v>
      </x:c>
      <x:c r="J16" s="26" t="str">
        <x:v>PROVISIONAL SKU — identity unresolved</x:v>
      </x:c>
      <x:c r="K16" s="26" t="str">
        <x:v>Unconfirmed Fripsy / MAKS mapping</x:v>
      </x:c>
      <x:c r="L16" s="26" t="str">
        <x:v>MUST CONFIRM real package before live recognition</x:v>
      </x:c>
    </x:row>
    <x:row r="17" ht="27" customHeight="1">
      <x:c r="A17" s="36" t="str">
        <x:v>DEMO-CROCO-001</x:v>
      </x:c>
      <x:c r="B17" s="26" t="str">
        <x:v>Croco snack (provisional)</x:v>
      </x:c>
      <x:c r="C17" s="26" t="str">
        <x:v>Croco</x:v>
      </x:c>
      <x:c r="D17" s="26" t="str">
        <x:v>unspecified</x:v>
      </x:c>
      <x:c r="E17" s="26" t="str">
        <x:v>pack</x:v>
      </x:c>
      <x:c r="F17" s="27" t="n">
        <x:v>1.69</x:v>
      </x:c>
      <x:c r="G17" s="28" t="n">
        <x:v>14</x:v>
      </x:c>
      <x:c r="H17" s="26" t="str">
        <x:v>B2</x:v>
      </x:c>
      <x:c r="I17" s="26" t="str">
        <x:v>Top</x:v>
      </x:c>
      <x:c r="J17" s="26" t="str">
        <x:v>PROVISIONAL SKU — replace</x:v>
      </x:c>
      <x:c r="K17" s="26" t="str">
        <x:v>Known product family from prior tests</x:v>
      </x:c>
      <x:c r="L17" s="26" t="str">
        <x:v>Verify exact variant; earlier gallery mismatch</x:v>
      </x:c>
    </x:row>
    <x:row r="18" ht="27" customHeight="1">
      <x:c r="A18" s="36" t="str">
        <x:v>DEMO-7DAYS-001</x:v>
      </x:c>
      <x:c r="B18" s="26" t="str">
        <x:v>7Days cake bar (provisional)</x:v>
      </x:c>
      <x:c r="C18" s="26" t="str">
        <x:v>7Days</x:v>
      </x:c>
      <x:c r="D18" s="26" t="str">
        <x:v>unspecified</x:v>
      </x:c>
      <x:c r="E18" s="26" t="str">
        <x:v>piece</x:v>
      </x:c>
      <x:c r="F18" s="27" t="n">
        <x:v>1.39</x:v>
      </x:c>
      <x:c r="G18" s="28" t="n">
        <x:v>20</x:v>
      </x:c>
      <x:c r="H18" s="26" t="str">
        <x:v>B2</x:v>
      </x:c>
      <x:c r="I18" s="26" t="str">
        <x:v>Bottom</x:v>
      </x:c>
      <x:c r="J18" s="26" t="str">
        <x:v>PROVISIONAL SKU — replace</x:v>
      </x:c>
      <x:c r="K18" s="26" t="str">
        <x:v>Known product family from prior tests</x:v>
      </x:c>
      <x:c r="L18" s="26" t="str">
        <x:v>Confirm variant</x:v>
      </x:c>
    </x:row>
    <x:row r="19" ht="27" customHeight="1">
      <x:c r="A19" s="36" t="str">
        <x:v>DEMO-ITEM-014</x:v>
      </x:c>
      <x:c r="B19" s="26" t="str">
        <x:v>Unidentified demo item #14</x:v>
      </x:c>
      <x:c r="C19" s="26" t="str">
        <x:v>Unconfirmed</x:v>
      </x:c>
      <x:c r="D19" s="26" t="str">
        <x:v>not identified</x:v>
      </x:c>
      <x:c r="E19" s="26" t="str">
        <x:v>piece</x:v>
      </x:c>
      <x:c r="F19" s="27" t="n">
        <x:v>1.2</x:v>
      </x:c>
      <x:c r="G19" s="28" t="n">
        <x:v>0</x:v>
      </x:c>
      <x:c r="H19" s="26" t="str">
        <x:v>A2</x:v>
      </x:c>
      <x:c r="I19" s="26" t="str">
        <x:v>Top</x:v>
      </x:c>
      <x:c r="J19" s="26" t="str">
        <x:v>PLACEHOLDER — do not import</x:v>
      </x:c>
      <x:c r="K19" s="26" t="str">
        <x:v>14th current shop SKU not supplied</x:v>
      </x:c>
      <x:c r="L19" s="26" t="str">
        <x:v>Replace with actual existing SKU and product</x:v>
      </x:c>
    </x:row>
  </x:sheetData>
  <x:mergeCells>
    <x:mergeCell ref="A1:L2"/>
    <x:mergeCell ref="A3:L3"/>
  </x:mergeCells>
  <x:dataValidations count="2">
    <x:dataValidation type="list" sqref="H6:H19">
      <x:formula1>"A1,A2,B1,B2,C1,C2,D1,D2"</x:formula1>
    </x:dataValidation>
    <x:dataValidation type="list" sqref="I6:I19">
      <x:formula1>"Top,Middle,Bottom"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fa8910d0bd425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2" hidden="0" customWidth="1"/>
    <x:col min="4" max="4" width="12" hidden="0" customWidth="1"/>
    <x:col min="5" max="5" width="12" hidden="0" customWidth="1"/>
    <x:col min="6" max="6" width="37" hidden="0" customWidth="1"/>
  </x:cols>
  <x:sheetData>
    <x:row r="1" ht="22" customHeight="1">
      <x:c r="A1" s="4" t="str">
        <x:v>Shelf locations | Owner-defined</x:v>
      </x:c>
      <x:c r="B1" s="4"/>
      <x:c r="C1" s="4"/>
      <x:c r="D1" s="4"/>
      <x:c r="E1" s="4"/>
      <x:c r="F1" s="4"/>
    </x:row>
    <x:row r="2" ht="22" customHeight="1">
      <x:c r="A2" s="4"/>
      <x:c r="B2" s="4"/>
      <x:c r="C2" s="4"/>
      <x:c r="D2" s="4"/>
      <x:c r="E2" s="4"/>
      <x:c r="F2" s="4"/>
    </x:row>
    <x:row r="3" ht="25" customHeight="1">
      <x:c r="A3" s="10" t="str">
        <x:v>Map and shopping directions must use these shop-entered shelf IDs—not imagined GPS coordinates.</x:v>
      </x:c>
      <x:c r="B3" s="10"/>
      <x:c r="C3" s="10"/>
      <x:c r="D3" s="10"/>
      <x:c r="E3" s="10"/>
      <x:c r="F3" s="10"/>
    </x:row>
    <x:row r="5" ht="29" customHeight="1">
      <x:c r="A5" s="17" t="str">
        <x:v>Shelf_ID</x:v>
      </x:c>
      <x:c r="B5" s="17" t="str">
        <x:v>Zone</x:v>
      </x:c>
      <x:c r="C5" s="17" t="str">
        <x:v>Aisle</x:v>
      </x:c>
      <x:c r="D5" s="17" t="str">
        <x:v>Map_X</x:v>
      </x:c>
      <x:c r="E5" s="17" t="str">
        <x:v>Map_Y</x:v>
      </x:c>
      <x:c r="F5" s="17" t="str">
        <x:v>Owner_Notes</x:v>
      </x:c>
    </x:row>
    <x:row r="6" ht="28" customHeight="1">
      <x:c r="A6" t="str">
        <x:v>A1</x:v>
      </x:c>
      <x:c r="B6" t="str">
        <x:v>Pantry / beans</x:v>
      </x:c>
      <x:c r="C6" t="n">
        <x:v>1</x:v>
      </x:c>
      <x:c r="D6" t="n">
        <x:v>3</x:v>
      </x:c>
      <x:c r="E6" t="n">
        <x:v>4</x:v>
      </x:c>
      <x:c r="F6" t="str">
        <x:v>Left front pantry shelf</x:v>
      </x:c>
    </x:row>
    <x:row r="7" ht="28" customHeight="1">
      <x:c r="A7" t="str">
        <x:v>A2</x:v>
      </x:c>
      <x:c r="B7" t="str">
        <x:v>Sauces / passata</x:v>
      </x:c>
      <x:c r="C7" t="n">
        <x:v>1</x:v>
      </x:c>
      <x:c r="D7" t="n">
        <x:v>3</x:v>
      </x:c>
      <x:c r="E7" t="n">
        <x:v>6</x:v>
      </x:c>
      <x:c r="F7" t="str">
        <x:v>Left rear pantry shelf</x:v>
      </x:c>
    </x:row>
    <x:row r="8" ht="28" customHeight="1">
      <x:c r="A8" t="str">
        <x:v>B1</x:v>
      </x:c>
      <x:c r="B8" t="str">
        <x:v>Snacks / crisps</x:v>
      </x:c>
      <x:c r="C8" t="n">
        <x:v>2</x:v>
      </x:c>
      <x:c r="D8" t="n">
        <x:v>5</x:v>
      </x:c>
      <x:c r="E8" t="n">
        <x:v>4</x:v>
      </x:c>
      <x:c r="F8" t="str">
        <x:v>Center front snack shelf</x:v>
      </x:c>
    </x:row>
    <x:row r="9" ht="28" customHeight="1">
      <x:c r="A9" t="str">
        <x:v>B2</x:v>
      </x:c>
      <x:c r="B9" t="str">
        <x:v>Cookies / sweets</x:v>
      </x:c>
      <x:c r="C9" t="n">
        <x:v>2</x:v>
      </x:c>
      <x:c r="D9" t="n">
        <x:v>5</x:v>
      </x:c>
      <x:c r="E9" t="n">
        <x:v>6</x:v>
      </x:c>
      <x:c r="F9" t="str">
        <x:v>Center rear snack shelf</x:v>
      </x:c>
    </x:row>
    <x:row r="10" ht="28" customHeight="1">
      <x:c r="A10" t="str">
        <x:v>C1</x:v>
      </x:c>
      <x:c r="B10" t="str">
        <x:v>Energy drinks</x:v>
      </x:c>
      <x:c r="C10" t="n">
        <x:v>3</x:v>
      </x:c>
      <x:c r="D10" t="n">
        <x:v>7</x:v>
      </x:c>
      <x:c r="E10" t="n">
        <x:v>4</x:v>
      </x:c>
      <x:c r="F10" t="str">
        <x:v>Right-front beverage shelf</x:v>
      </x:c>
    </x:row>
    <x:row r="11" ht="28" customHeight="1">
      <x:c r="A11" t="str">
        <x:v>C2</x:v>
      </x:c>
      <x:c r="B11" t="str">
        <x:v>Bottled drinks</x:v>
      </x:c>
      <x:c r="C11" t="n">
        <x:v>3</x:v>
      </x:c>
      <x:c r="D11" t="n">
        <x:v>7</x:v>
      </x:c>
      <x:c r="E11" t="n">
        <x:v>6</x:v>
      </x:c>
      <x:c r="F11" t="str">
        <x:v>Right-rear beverage shelf</x:v>
      </x:c>
    </x:row>
    <x:row r="12" ht="28" customHeight="1">
      <x:c r="A12" t="str">
        <x:v>D1</x:v>
      </x:c>
      <x:c r="B12" t="str">
        <x:v>Spices &amp; cooking</x:v>
      </x:c>
      <x:c r="C12" t="n">
        <x:v>4</x:v>
      </x:c>
      <x:c r="D12" t="n">
        <x:v>9</x:v>
      </x:c>
      <x:c r="E12" t="n">
        <x:v>4</x:v>
      </x:c>
      <x:c r="F12" t="str">
        <x:v>Far-right front shelf</x:v>
      </x:c>
    </x:row>
    <x:row r="13" ht="28" customHeight="1">
      <x:c r="A13" t="str">
        <x:v>D2</x:v>
      </x:c>
      <x:c r="B13" t="str">
        <x:v>Milk / dairy</x:v>
      </x:c>
      <x:c r="C13" t="n">
        <x:v>4</x:v>
      </x:c>
      <x:c r="D13" t="n">
        <x:v>9</x:v>
      </x:c>
      <x:c r="E13" t="n">
        <x:v>6</x:v>
      </x:c>
      <x:c r="F13" t="str">
        <x:v>Far-right rear shelf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a2d5ef6f2a08442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3" hidden="0" customWidth="1"/>
    <x:col min="4" max="4" width="19" hidden="0" customWidth="1"/>
    <x:col min="5" max="5" width="15" hidden="0" customWidth="1"/>
    <x:col min="6" max="6" width="21" hidden="0" customWidth="1"/>
    <x:col min="7" max="7" width="4" hidden="0" customWidth="1"/>
  </x:cols>
  <x:sheetData>
    <x:row r="1" ht="22" customHeight="1">
      <x:c r="A1" s="4" t="str">
        <x:v>Buyer | Shopping list &amp; budget</x:v>
      </x:c>
      <x:c r="B1" s="4"/>
      <x:c r="C1" s="4"/>
      <x:c r="D1" s="4"/>
      <x:c r="E1" s="4"/>
      <x:c r="F1" s="4"/>
      <x:c r="G1" s="4"/>
    </x:row>
    <x:row r="2" ht="22" customHeight="1">
      <x:c r="A2" s="4"/>
      <x:c r="B2" s="4"/>
      <x:c r="C2" s="4"/>
      <x:c r="D2" s="4"/>
      <x:c r="E2" s="4"/>
      <x:c r="F2" s="4"/>
      <x:c r="G2" s="4"/>
    </x:row>
    <x:row r="3" ht="25" customHeight="1">
      <x:c r="A3" s="10" t="str">
        <x:v>Edit SKU and quantity (yellow cells). Totals calculate using mock shop catalogue prices.</x:v>
      </x:c>
      <x:c r="B3" s="10"/>
      <x:c r="C3" s="10"/>
      <x:c r="D3" s="10"/>
      <x:c r="E3" s="10"/>
      <x:c r="F3" s="10"/>
      <x:c r="G3" s="10"/>
    </x:row>
    <x:row r="5" ht="29" customHeight="1">
      <x:c r="A5" s="17" t="str">
        <x:v>SKU</x:v>
      </x:c>
      <x:c r="B5" s="17" t="str">
        <x:v>Product</x:v>
      </x:c>
      <x:c r="C5" s="17" t="str">
        <x:v>Shelf</x:v>
      </x:c>
      <x:c r="D5" s="17" t="str">
        <x:v>Unit Price (€)</x:v>
      </x:c>
      <x:c r="E5" s="17" t="str">
        <x:v>Quantity</x:v>
      </x:c>
      <x:c r="F5" s="17" t="str">
        <x:v>Line total (€)</x:v>
      </x:c>
    </x:row>
    <x:row r="6">
      <x:c r="A6" s="38" t="str">
        <x:v>ENERGIA-POWER-250</x:v>
      </x:c>
      <x:c r="B6" t="str">
        <x:f>IF(A6="","",IFERROR(VLOOKUP(A6,Products_Import!$A$6:$L$19,2,FALSE),"CHECK SKU"))</x:f>
        <x:v>Energia Power</x:v>
      </x:c>
      <x:c r="C6" t="str">
        <x:f>IF(A6="","",IFERROR(VLOOKUP(A6,Products_Import!$A$6:$L$19,8,FALSE),"CHECK SKU"))</x:f>
        <x:v>C1</x:v>
      </x:c>
      <x:c r="D6" s="22" t="n">
        <x:f>IF(A6="","",IFERROR(VLOOKUP(A6,Products_Import!$A$6:$L$19,6,FALSE),"CHECK SKU"))</x:f>
        <x:v>1.59</x:v>
      </x:c>
      <x:c r="E6" s="38" t="n">
        <x:v>2</x:v>
      </x:c>
      <x:c r="F6" s="22" t="n">
        <x:f>IF(OR(A6="",E6=""),"",IF(ISNUMBER(D6),D6*E6,0))</x:f>
        <x:v>3.18</x:v>
      </x:c>
    </x:row>
    <x:row r="7">
      <x:c r="A7" s="38" t="str">
        <x:v>DUKAT-MLIJEKO-1000</x:v>
      </x:c>
      <x:c r="B7" t="str">
        <x:f>IF(A7="","",IFERROR(VLOOKUP(A7,Products_Import!$A$6:$L$19,2,FALSE),"CHECK SKU"))</x:f>
        <x:v>Dukat Milk</x:v>
      </x:c>
      <x:c r="C7" t="str">
        <x:f>IF(A7="","",IFERROR(VLOOKUP(A7,Products_Import!$A$6:$L$19,8,FALSE),"CHECK SKU"))</x:f>
        <x:v>D2</x:v>
      </x:c>
      <x:c r="D7" s="22" t="n">
        <x:f>IF(A7="","",IFERROR(VLOOKUP(A7,Products_Import!$A$6:$L$19,6,FALSE),"CHECK SKU"))</x:f>
        <x:v>1.45</x:v>
      </x:c>
      <x:c r="E7" s="38" t="n">
        <x:v>1</x:v>
      </x:c>
      <x:c r="F7" s="22" t="n">
        <x:f>IF(OR(A7="",E7=""),"",IF(ISNUMBER(D7),D7*E7,0))</x:f>
        <x:v>1.45</x:v>
      </x:c>
    </x:row>
    <x:row r="8">
      <x:c r="A8" s="38" t="str">
        <x:v>FRESHONA-BEANS-800</x:v>
      </x:c>
      <x:c r="B8" t="str">
        <x:f>IF(A8="","",IFERROR(VLOOKUP(A8,Products_Import!$A$6:$L$19,2,FALSE),"CHECK SKU"))</x:f>
        <x:v>Freshona Beans</x:v>
      </x:c>
      <x:c r="C8" t="str">
        <x:f>IF(A8="","",IFERROR(VLOOKUP(A8,Products_Import!$A$6:$L$19,8,FALSE),"CHECK SKU"))</x:f>
        <x:v>A1</x:v>
      </x:c>
      <x:c r="D8" s="22" t="n">
        <x:f>IF(A8="","",IFERROR(VLOOKUP(A8,Products_Import!$A$6:$L$19,6,FALSE),"CHECK SKU"))</x:f>
        <x:v>1.79</x:v>
      </x:c>
      <x:c r="E8" s="38" t="n">
        <x:v>1</x:v>
      </x:c>
      <x:c r="F8" s="22" t="n">
        <x:f>IF(OR(A8="",E8=""),"",IF(ISNUMBER(D8),D8*E8,0))</x:f>
        <x:v>1.79</x:v>
      </x:c>
    </x:row>
    <x:row r="9">
      <x:c r="A9" s="38" t="str">
        <x:v>DM-CURRY-325</x:v>
      </x:c>
      <x:c r="B9" t="str">
        <x:f>IF(A9="","",IFERROR(VLOOKUP(A9,Products_Import!$A$6:$L$19,2,FALSE),"CHECK SKU"))</x:f>
        <x:v>DM Curry (confirm product type)</x:v>
      </x:c>
      <x:c r="C9" t="str">
        <x:f>IF(A9="","",IFERROR(VLOOKUP(A9,Products_Import!$A$6:$L$19,8,FALSE),"CHECK SKU"))</x:f>
        <x:v>D1</x:v>
      </x:c>
      <x:c r="D9" s="22" t="n">
        <x:f>IF(A9="","",IFERROR(VLOOKUP(A9,Products_Import!$A$6:$L$19,6,FALSE),"CHECK SKU"))</x:f>
        <x:v>2.49</x:v>
      </x:c>
      <x:c r="E9" s="38" t="n">
        <x:v>1</x:v>
      </x:c>
      <x:c r="F9" s="22" t="n">
        <x:f>IF(OR(A9="",E9=""),"",IF(ISNUMBER(D9),D9*E9,0))</x:f>
        <x:v>2.49</x:v>
      </x:c>
    </x:row>
    <x:row r="10">
      <x:c r="A10" s="38" t="str">
        <x:v>DEMO-OREO-001</x:v>
      </x:c>
      <x:c r="B10" t="str">
        <x:f>IF(A10="","",IFERROR(VLOOKUP(A10,Products_Import!$A$6:$L$19,2,FALSE),"CHECK SKU"))</x:f>
        <x:v>Oreo cookies (provisional)</x:v>
      </x:c>
      <x:c r="C10" t="str">
        <x:f>IF(A10="","",IFERROR(VLOOKUP(A10,Products_Import!$A$6:$L$19,8,FALSE),"CHECK SKU"))</x:f>
        <x:v>B2</x:v>
      </x:c>
      <x:c r="D10" s="22" t="n">
        <x:f>IF(A10="","",IFERROR(VLOOKUP(A10,Products_Import!$A$6:$L$19,6,FALSE),"CHECK SKU"))</x:f>
        <x:v>1.99</x:v>
      </x:c>
      <x:c r="E10" s="38" t="n">
        <x:v>2</x:v>
      </x:c>
      <x:c r="F10" s="22" t="n">
        <x:f>IF(OR(A10="",E10=""),"",IF(ISNUMBER(D10),D10*E10,0))</x:f>
        <x:v>3.98</x:v>
      </x:c>
    </x:row>
    <x:row r="11">
      <x:c r="A11" s="38"/>
      <x:c r="B11" t="str">
        <x:f>IF(A11="","",IFERROR(VLOOKUP(A11,Products_Import!$A$6:$L$19,2,FALSE),"CHECK SKU"))</x:f>
      </x:c>
      <x:c r="C11" t="str">
        <x:f>IF(A11="","",IFERROR(VLOOKUP(A11,Products_Import!$A$6:$L$19,8,FALSE),"CHECK SKU"))</x:f>
      </x:c>
      <x:c r="D11" s="22" t="str">
        <x:f>IF(A11="","",IFERROR(VLOOKUP(A11,Products_Import!$A$6:$L$19,6,FALSE),"CHECK SKU"))</x:f>
      </x:c>
      <x:c r="E11" s="38"/>
      <x:c r="F11" s="22" t="str">
        <x:f>IF(OR(A11="",E11=""),"",IF(ISNUMBER(D11),D11*E11,0))</x:f>
      </x:c>
    </x:row>
    <x:row r="12">
      <x:c r="A12" s="38"/>
      <x:c r="B12" t="str">
        <x:f>IF(A12="","",IFERROR(VLOOKUP(A12,Products_Import!$A$6:$L$19,2,FALSE),"CHECK SKU"))</x:f>
      </x:c>
      <x:c r="C12" t="str">
        <x:f>IF(A12="","",IFERROR(VLOOKUP(A12,Products_Import!$A$6:$L$19,8,FALSE),"CHECK SKU"))</x:f>
      </x:c>
      <x:c r="D12" s="22" t="str">
        <x:f>IF(A12="","",IFERROR(VLOOKUP(A12,Products_Import!$A$6:$L$19,6,FALSE),"CHECK SKU"))</x:f>
      </x:c>
      <x:c r="E12" s="38"/>
      <x:c r="F12" s="22" t="str">
        <x:f>IF(OR(A12="",E12=""),"",IF(ISNUMBER(D12),D12*E12,0))</x:f>
      </x:c>
    </x:row>
    <x:row r="13">
      <x:c r="A13" s="38"/>
      <x:c r="B13" t="str">
        <x:f>IF(A13="","",IFERROR(VLOOKUP(A13,Products_Import!$A$6:$L$19,2,FALSE),"CHECK SKU"))</x:f>
      </x:c>
      <x:c r="C13" t="str">
        <x:f>IF(A13="","",IFERROR(VLOOKUP(A13,Products_Import!$A$6:$L$19,8,FALSE),"CHECK SKU"))</x:f>
      </x:c>
      <x:c r="D13" s="22" t="str">
        <x:f>IF(A13="","",IFERROR(VLOOKUP(A13,Products_Import!$A$6:$L$19,6,FALSE),"CHECK SKU"))</x:f>
      </x:c>
      <x:c r="E13" s="38"/>
      <x:c r="F13" s="22" t="str">
        <x:f>IF(OR(A13="",E13=""),"",IF(ISNUMBER(D13),D13*E13,0))</x:f>
      </x:c>
    </x:row>
    <x:row r="14">
      <x:c r="A14" s="38"/>
      <x:c r="B14" t="str">
        <x:f>IF(A14="","",IFERROR(VLOOKUP(A14,Products_Import!$A$6:$L$19,2,FALSE),"CHECK SKU"))</x:f>
      </x:c>
      <x:c r="C14" t="str">
        <x:f>IF(A14="","",IFERROR(VLOOKUP(A14,Products_Import!$A$6:$L$19,8,FALSE),"CHECK SKU"))</x:f>
      </x:c>
      <x:c r="D14" s="22" t="str">
        <x:f>IF(A14="","",IFERROR(VLOOKUP(A14,Products_Import!$A$6:$L$19,6,FALSE),"CHECK SKU"))</x:f>
      </x:c>
      <x:c r="E14" s="38"/>
      <x:c r="F14" s="22" t="str">
        <x:f>IF(OR(A14="",E14=""),"",IF(ISNUMBER(D14),D14*E14,0))</x:f>
      </x:c>
    </x:row>
    <x:row r="15">
      <x:c r="A15" s="38"/>
      <x:c r="B15" t="str">
        <x:f>IF(A15="","",IFERROR(VLOOKUP(A15,Products_Import!$A$6:$L$19,2,FALSE),"CHECK SKU"))</x:f>
      </x:c>
      <x:c r="C15" t="str">
        <x:f>IF(A15="","",IFERROR(VLOOKUP(A15,Products_Import!$A$6:$L$19,8,FALSE),"CHECK SKU"))</x:f>
      </x:c>
      <x:c r="D15" s="22" t="str">
        <x:f>IF(A15="","",IFERROR(VLOOKUP(A15,Products_Import!$A$6:$L$19,6,FALSE),"CHECK SKU"))</x:f>
      </x:c>
      <x:c r="E15" s="38"/>
      <x:c r="F15" s="22" t="str">
        <x:f>IF(OR(A15="",E15=""),"",IF(ISNUMBER(D15),D15*E15,0))</x:f>
      </x:c>
    </x:row>
    <x:row r="16">
      <x:c r="A16" s="38"/>
      <x:c r="B16" t="str">
        <x:f>IF(A16="","",IFERROR(VLOOKUP(A16,Products_Import!$A$6:$L$19,2,FALSE),"CHECK SKU"))</x:f>
      </x:c>
      <x:c r="C16" t="str">
        <x:f>IF(A16="","",IFERROR(VLOOKUP(A16,Products_Import!$A$6:$L$19,8,FALSE),"CHECK SKU"))</x:f>
      </x:c>
      <x:c r="D16" s="22" t="str">
        <x:f>IF(A16="","",IFERROR(VLOOKUP(A16,Products_Import!$A$6:$L$19,6,FALSE),"CHECK SKU"))</x:f>
      </x:c>
      <x:c r="E16" s="38"/>
      <x:c r="F16" s="22" t="str">
        <x:f>IF(OR(A16="",E16=""),"",IF(ISNUMBER(D16),D16*E16,0))</x:f>
      </x:c>
    </x:row>
    <x:row r="17">
      <x:c r="A17" s="38"/>
      <x:c r="B17" t="str">
        <x:f>IF(A17="","",IFERROR(VLOOKUP(A17,Products_Import!$A$6:$L$19,2,FALSE),"CHECK SKU"))</x:f>
      </x:c>
      <x:c r="C17" t="str">
        <x:f>IF(A17="","",IFERROR(VLOOKUP(A17,Products_Import!$A$6:$L$19,8,FALSE),"CHECK SKU"))</x:f>
      </x:c>
      <x:c r="D17" s="22" t="str">
        <x:f>IF(A17="","",IFERROR(VLOOKUP(A17,Products_Import!$A$6:$L$19,6,FALSE),"CHECK SKU"))</x:f>
      </x:c>
      <x:c r="E17" s="38"/>
      <x:c r="F17" s="22" t="str">
        <x:f>IF(OR(A17="",E17=""),"",IF(ISNUMBER(D17),D17*E17,0))</x:f>
      </x:c>
    </x:row>
    <x:row r="18">
      <x:c r="F18" s="22"/>
    </x:row>
    <x:row r="19" ht="27" customHeight="1">
      <x:c r="A19" s="41" t="str">
        <x:v>SHOPPING TOTAL</x:v>
      </x:c>
      <x:c r="B19" s="41"/>
      <x:c r="C19" s="41"/>
      <x:c r="D19" s="41"/>
      <x:c r="E19" s="41"/>
      <x:c r="F19" s="42" t="n">
        <x:f>SUM(F6:F17)</x:f>
        <x:v>12.89</x:v>
      </x:c>
    </x:row>
    <x:row r="20">
      <x:c r="A20" t="str">
        <x:v>Total units</x:v>
      </x:c>
      <x:c r="E20" t="n">
        <x:f>SUM(E6:E17)</x:f>
        <x:v>7</x:v>
      </x:c>
      <x:c r="F20" s="22"/>
    </x:row>
    <x:row r="21">
      <x:c r="A21" s="46" t="str">
        <x:v>Optional budget (€)</x:v>
      </x:c>
      <x:c r="E21" s="48" t="n">
        <x:v>20</x:v>
      </x:c>
      <x:c r="F21" s="22" t="n">
        <x:f>E21-F19</x:f>
        <x:v>7.109999999999999</x:v>
      </x:c>
    </x:row>
    <x:row r="23" ht="22" customHeight="1">
      <x:c r="A23" s="50" t="str">
        <x:v>Budget is a planner, NOT payment. Buying and camera cart preview must not change shop stock.</x:v>
      </x:c>
      <x:c r="B23" s="50"/>
      <x:c r="C23" s="50"/>
      <x:c r="D23" s="50"/>
      <x:c r="E23" s="50"/>
      <x:c r="F23" s="50"/>
    </x:row>
    <x:row r="24" ht="22" customHeight="1">
      <x:c r="A24" s="50"/>
      <x:c r="B24" s="50"/>
      <x:c r="C24" s="50"/>
      <x:c r="D24" s="50"/>
      <x:c r="E24" s="50"/>
      <x:c r="F24" s="50"/>
    </x:row>
  </x:sheetData>
  <x:mergeCells>
    <x:mergeCell ref="A1:G2"/>
    <x:mergeCell ref="A3:G3"/>
    <x:mergeCell ref="A23:F24"/>
  </x:mergeCells>
  <x:dataValidations count="1">
    <x:dataValidation type="list" sqref="A6:A17">
      <x:formula1>Products_Import!$A$6:$A$19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14" hidden="0" customWidth="1"/>
    <x:col min="4" max="4" width="12" hidden="0" customWidth="1"/>
    <x:col min="5" max="5" width="19" hidden="0" customWidth="1"/>
    <x:col min="6" max="6" width="18" hidden="0" customWidth="1"/>
    <x:col min="7" max="7" width="24" hidden="0" customWidth="1"/>
    <x:col min="8" max="8" width="4" hidden="0" customWidth="1"/>
  </x:cols>
  <x:sheetData>
    <x:row r="1" ht="22" customHeight="1">
      <x:c r="A1" s="4" t="str">
        <x:v>Customer | Scanner basket cost preview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10" t="str">
        <x:v>SIMULATED pending scan — not real DINO output, not a receipt, and never an inventory deduction.</x:v>
      </x:c>
      <x:c r="B3" s="10"/>
      <x:c r="C3" s="10"/>
      <x:c r="D3" s="10"/>
      <x:c r="E3" s="10"/>
      <x:c r="F3" s="10"/>
      <x:c r="G3" s="10"/>
      <x:c r="H3" s="10"/>
    </x:row>
    <x:row r="5" ht="29" customHeight="1">
      <x:c r="A5" s="17" t="str">
        <x:v>Detected/Chosen SKU</x:v>
      </x:c>
      <x:c r="B5" s="17" t="str">
        <x:v>Product</x:v>
      </x:c>
      <x:c r="C5" s="17" t="str">
        <x:v>Shelf_ID</x:v>
      </x:c>
      <x:c r="D5" s="17" t="str">
        <x:v>Units</x:v>
      </x:c>
      <x:c r="E5" s="17" t="str">
        <x:v>Unit price (€)</x:v>
      </x:c>
      <x:c r="F5" s="17" t="str">
        <x:v>Subtotal (€)</x:v>
      </x:c>
      <x:c r="G5" s="17" t="str">
        <x:v>Review_State</x:v>
      </x:c>
    </x:row>
    <x:row r="6">
      <x:c r="A6" s="38" t="str">
        <x:v>ENERGIA-POWER-250</x:v>
      </x:c>
      <x:c r="B6" t="str">
        <x:f>IF(A6="","",IFERROR(VLOOKUP(A6,Products_Import!$A$6:$L$19,2,FALSE),"CHECK SKU"))</x:f>
        <x:v>Energia Power</x:v>
      </x:c>
      <x:c r="C6" t="str">
        <x:f>IF(A6="","",IFERROR(VLOOKUP(A6,Products_Import!$A$6:$L$19,8,FALSE),"CHECK SKU"))</x:f>
        <x:v>C1</x:v>
      </x:c>
      <x:c r="D6" s="38" t="n">
        <x:v>2</x:v>
      </x:c>
      <x:c r="E6" s="22" t="n">
        <x:f>IF(A6="","",IFERROR(VLOOKUP(A6,Products_Import!$A$6:$L$19,6,FALSE),"CHECK SKU"))</x:f>
        <x:v>1.59</x:v>
      </x:c>
      <x:c r="F6" s="22" t="n">
        <x:f>IF(OR(A6="",D6=""),"",IF(ISNUMBER(E6),E6*D6,0))</x:f>
        <x:v>3.18</x:v>
      </x:c>
      <x:c r="G6" s="38" t="str">
        <x:v>Needs confirmation</x:v>
      </x:c>
    </x:row>
    <x:row r="7">
      <x:c r="A7" s="38" t="str">
        <x:v>DUKAT-MLIJEKO-1000</x:v>
      </x:c>
      <x:c r="B7" t="str">
        <x:f>IF(A7="","",IFERROR(VLOOKUP(A7,Products_Import!$A$6:$L$19,2,FALSE),"CHECK SKU"))</x:f>
        <x:v>Dukat Milk</x:v>
      </x:c>
      <x:c r="C7" t="str">
        <x:f>IF(A7="","",IFERROR(VLOOKUP(A7,Products_Import!$A$6:$L$19,8,FALSE),"CHECK SKU"))</x:f>
        <x:v>D2</x:v>
      </x:c>
      <x:c r="D7" s="38" t="n">
        <x:v>1</x:v>
      </x:c>
      <x:c r="E7" s="22" t="n">
        <x:f>IF(A7="","",IFERROR(VLOOKUP(A7,Products_Import!$A$6:$L$19,6,FALSE),"CHECK SKU"))</x:f>
        <x:v>1.45</x:v>
      </x:c>
      <x:c r="F7" s="22" t="n">
        <x:f>IF(OR(A7="",D7=""),"",IF(ISNUMBER(E7),E7*D7,0))</x:f>
        <x:v>1.45</x:v>
      </x:c>
      <x:c r="G7" s="38" t="str">
        <x:v>Needs confirmation</x:v>
      </x:c>
    </x:row>
    <x:row r="8">
      <x:c r="A8" s="38" t="str">
        <x:v>DM-CURRY-325</x:v>
      </x:c>
      <x:c r="B8" t="str">
        <x:f>IF(A8="","",IFERROR(VLOOKUP(A8,Products_Import!$A$6:$L$19,2,FALSE),"CHECK SKU"))</x:f>
        <x:v>DM Curry (confirm product type)</x:v>
      </x:c>
      <x:c r="C8" t="str">
        <x:f>IF(A8="","",IFERROR(VLOOKUP(A8,Products_Import!$A$6:$L$19,8,FALSE),"CHECK SKU"))</x:f>
        <x:v>D1</x:v>
      </x:c>
      <x:c r="D8" s="38" t="n">
        <x:v>1</x:v>
      </x:c>
      <x:c r="E8" s="22" t="n">
        <x:f>IF(A8="","",IFERROR(VLOOKUP(A8,Products_Import!$A$6:$L$19,6,FALSE),"CHECK SKU"))</x:f>
        <x:v>2.49</x:v>
      </x:c>
      <x:c r="F8" s="22" t="n">
        <x:f>IF(OR(A8="",D8=""),"",IF(ISNUMBER(E8),E8*D8,0))</x:f>
        <x:v>2.49</x:v>
      </x:c>
      <x:c r="G8" s="38" t="str">
        <x:v>Needs confirmation</x:v>
      </x:c>
    </x:row>
    <x:row r="9">
      <x:c r="A9" s="38" t="str">
        <x:v>FENTIMANS-GINGER-200</x:v>
      </x:c>
      <x:c r="B9" t="str">
        <x:f>IF(A9="","",IFERROR(VLOOKUP(A9,Products_Import!$A$6:$L$19,2,FALSE),"CHECK SKU"))</x:f>
        <x:v>Fentimans Ginger</x:v>
      </x:c>
      <x:c r="C9" t="str">
        <x:f>IF(A9="","",IFERROR(VLOOKUP(A9,Products_Import!$A$6:$L$19,8,FALSE),"CHECK SKU"))</x:f>
        <x:v>C2</x:v>
      </x:c>
      <x:c r="D9" s="38" t="n">
        <x:v>1</x:v>
      </x:c>
      <x:c r="E9" s="22" t="n">
        <x:f>IF(A9="","",IFERROR(VLOOKUP(A9,Products_Import!$A$6:$L$19,6,FALSE),"CHECK SKU"))</x:f>
        <x:v>2.69</x:v>
      </x:c>
      <x:c r="F9" s="22" t="n">
        <x:f>IF(OR(A9="",D9=""),"",IF(ISNUMBER(E9),E9*D9,0))</x:f>
        <x:v>2.69</x:v>
      </x:c>
      <x:c r="G9" s="38" t="str">
        <x:v>Needs confirmation</x:v>
      </x:c>
    </x:row>
    <x:row r="10">
      <x:c r="A10" s="38" t="str">
        <x:v>DEMO-FRIPSY-001</x:v>
      </x:c>
      <x:c r="B10" t="str">
        <x:f>IF(A10="","",IFERROR(VLOOKUP(A10,Products_Import!$A$6:$L$19,2,FALSE),"CHECK SKU"))</x:f>
        <x:v>Fripsy / MAKS identity unresolved</x:v>
      </x:c>
      <x:c r="C10" t="str">
        <x:f>IF(A10="","",IFERROR(VLOOKUP(A10,Products_Import!$A$6:$L$19,8,FALSE),"CHECK SKU"))</x:f>
        <x:v>B1</x:v>
      </x:c>
      <x:c r="D10" s="38" t="n">
        <x:v>1</x:v>
      </x:c>
      <x:c r="E10" s="22" t="n">
        <x:f>IF(A10="","",IFERROR(VLOOKUP(A10,Products_Import!$A$6:$L$19,6,FALSE),"CHECK SKU"))</x:f>
        <x:v>1.49</x:v>
      </x:c>
      <x:c r="F10" s="22" t="n">
        <x:f>IF(OR(A10="",D10=""),"",IF(ISNUMBER(E10),E10*D10,0))</x:f>
        <x:v>1.49</x:v>
      </x:c>
      <x:c r="G10" s="38" t="str">
        <x:v>Needs confirmation</x:v>
      </x:c>
    </x:row>
    <x:row r="11">
      <x:c r="A11" s="38"/>
      <x:c r="B11" t="str">
        <x:f>IF(A11="","",IFERROR(VLOOKUP(A11,Products_Import!$A$6:$L$19,2,FALSE),"CHECK SKU"))</x:f>
      </x:c>
      <x:c r="C11" t="str">
        <x:f>IF(A11="","",IFERROR(VLOOKUP(A11,Products_Import!$A$6:$L$19,8,FALSE),"CHECK SKU"))</x:f>
      </x:c>
      <x:c r="D11" s="38"/>
      <x:c r="E11" s="22" t="str">
        <x:f>IF(A11="","",IFERROR(VLOOKUP(A11,Products_Import!$A$6:$L$19,6,FALSE),"CHECK SKU"))</x:f>
      </x:c>
      <x:c r="F11" s="22" t="str">
        <x:f>IF(OR(A11="",D11=""),"",IF(ISNUMBER(E11),E11*D11,0))</x:f>
      </x:c>
      <x:c r="G11" s="38"/>
    </x:row>
    <x:row r="12">
      <x:c r="A12" s="38"/>
      <x:c r="B12" t="str">
        <x:f>IF(A12="","",IFERROR(VLOOKUP(A12,Products_Import!$A$6:$L$19,2,FALSE),"CHECK SKU"))</x:f>
      </x:c>
      <x:c r="C12" t="str">
        <x:f>IF(A12="","",IFERROR(VLOOKUP(A12,Products_Import!$A$6:$L$19,8,FALSE),"CHECK SKU"))</x:f>
      </x:c>
      <x:c r="D12" s="38"/>
      <x:c r="E12" s="22" t="str">
        <x:f>IF(A12="","",IFERROR(VLOOKUP(A12,Products_Import!$A$6:$L$19,6,FALSE),"CHECK SKU"))</x:f>
      </x:c>
      <x:c r="F12" s="22" t="str">
        <x:f>IF(OR(A12="",D12=""),"",IF(ISNUMBER(E12),E12*D12,0))</x:f>
      </x:c>
      <x:c r="G12" s="38"/>
    </x:row>
    <x:row r="13">
      <x:c r="A13" s="38"/>
      <x:c r="B13" t="str">
        <x:f>IF(A13="","",IFERROR(VLOOKUP(A13,Products_Import!$A$6:$L$19,2,FALSE),"CHECK SKU"))</x:f>
      </x:c>
      <x:c r="C13" t="str">
        <x:f>IF(A13="","",IFERROR(VLOOKUP(A13,Products_Import!$A$6:$L$19,8,FALSE),"CHECK SKU"))</x:f>
      </x:c>
      <x:c r="D13" s="38"/>
      <x:c r="E13" s="22" t="str">
        <x:f>IF(A13="","",IFERROR(VLOOKUP(A13,Products_Import!$A$6:$L$19,6,FALSE),"CHECK SKU"))</x:f>
      </x:c>
      <x:c r="F13" s="22" t="str">
        <x:f>IF(OR(A13="",D13=""),"",IF(ISNUMBER(E13),E13*D13,0))</x:f>
      </x:c>
      <x:c r="G13" s="38"/>
    </x:row>
    <x:row r="14">
      <x:c r="E14" s="22"/>
      <x:c r="F14" s="22"/>
    </x:row>
    <x:row r="15" ht="28" customHeight="1">
      <x:c r="A15" s="41" t="str">
        <x:v>CART PREVIEW TOTAL</x:v>
      </x:c>
      <x:c r="B15" s="41"/>
      <x:c r="C15" s="41"/>
      <x:c r="D15" s="41"/>
      <x:c r="E15" s="42"/>
      <x:c r="F15" s="42" t="n">
        <x:f>SUM(F6:F13)</x:f>
        <x:v>11.3</x:v>
      </x:c>
      <x:c r="G15" s="41"/>
    </x:row>
    <x:row r="17" ht="24" customHeight="1">
      <x:c r="A17" s="50" t="str">
        <x:v>Pending suggestion + quantity can be edited before customer confirms basket. Scans never deduct stock automatically.</x:v>
      </x:c>
      <x:c r="B17" s="50"/>
      <x:c r="C17" s="50"/>
      <x:c r="D17" s="50"/>
      <x:c r="E17" s="50"/>
      <x:c r="F17" s="50"/>
      <x:c r="G17" s="50"/>
    </x:row>
    <x:row r="18" ht="24" customHeight="1">
      <x:c r="A18" s="50"/>
      <x:c r="B18" s="50"/>
      <x:c r="C18" s="50"/>
      <x:c r="D18" s="50"/>
      <x:c r="E18" s="50"/>
      <x:c r="F18" s="50"/>
      <x:c r="G18" s="50"/>
    </x:row>
  </x:sheetData>
  <x:mergeCells>
    <x:mergeCell ref="A1:H2"/>
    <x:mergeCell ref="A3:H3"/>
    <x:mergeCell ref="A17:G18"/>
  </x:mergeCells>
  <x:dataValidations count="1">
    <x:dataValidation type="list" sqref="G6:G13">
      <x:formula1>"Needs confirmation,Confirmed,Wrong SKU,Unknown / manual"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" max="1" width="3" hidden="0" customWidth="1"/>
    <x:col min="12" max="12" width="3" hidden="0" customWidth="1"/>
  </x:cols>
  <x:sheetData>
    <x:row r="1" ht="22" customHeight="1">
      <x:c r="A1" s="4" t="str">
        <x:v>Mini store | 2D shelf map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5" customHeight="1">
      <x:c r="A3" s="10" t="str">
        <x:v>Illustrative shelf layout only; labels match Shelf_Locations. Does not claim physical measurements or real navigation.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35" customHeight="1">
      <x:c r="B4" s="54" t="str">
        <x:v>·</x:v>
      </x:c>
      <x:c r="C4" s="54" t="str">
        <x:v>·</x:v>
      </x:c>
      <x:c r="D4" s="54" t="str">
        <x:v>·</x:v>
      </x:c>
      <x:c r="E4" s="54" t="str">
        <x:v>·</x:v>
      </x:c>
      <x:c r="F4" s="54" t="str">
        <x:v>·</x:v>
      </x:c>
      <x:c r="G4" s="54" t="str">
        <x:v>·</x:v>
      </x:c>
      <x:c r="H4" s="54" t="str">
        <x:v>·</x:v>
      </x:c>
      <x:c r="I4" s="54" t="str">
        <x:v>·</x:v>
      </x:c>
      <x:c r="J4" s="54" t="str">
        <x:v>·</x:v>
      </x:c>
      <x:c r="K4" s="54" t="str">
        <x:v>·</x:v>
      </x:c>
    </x:row>
    <x:row r="5" ht="35" customHeight="1">
      <x:c r="B5" s="54" t="str">
        <x:v>·</x:v>
      </x:c>
      <x:c r="C5" s="54" t="str">
        <x:v>·</x:v>
      </x:c>
      <x:c r="D5" s="54" t="str">
        <x:v>·</x:v>
      </x:c>
      <x:c r="E5" s="54" t="str">
        <x:v>·</x:v>
      </x:c>
      <x:c r="F5" s="54" t="str">
        <x:v>·</x:v>
      </x:c>
      <x:c r="G5" s="54" t="str">
        <x:v>·</x:v>
      </x:c>
      <x:c r="H5" s="54" t="str">
        <x:v>·</x:v>
      </x:c>
      <x:c r="I5" s="54" t="str">
        <x:v>·</x:v>
      </x:c>
      <x:c r="J5" s="54" t="str">
        <x:v>·</x:v>
      </x:c>
      <x:c r="K5" s="54" t="str">
        <x:v>·</x:v>
      </x:c>
    </x:row>
    <x:row r="6" ht="35" customHeight="1">
      <x:c r="B6" s="54" t="str">
        <x:v>·</x:v>
      </x:c>
      <x:c r="C6" s="54" t="str">
        <x:v>·</x:v>
      </x:c>
      <x:c r="D6" s="54" t="str">
        <x:v>·</x:v>
      </x:c>
      <x:c r="E6" s="54" t="str">
        <x:v>·</x:v>
      </x:c>
      <x:c r="F6" s="54" t="str">
        <x:v>·</x:v>
      </x:c>
      <x:c r="G6" s="54" t="str">
        <x:v>·</x:v>
      </x:c>
      <x:c r="H6" s="54" t="str">
        <x:v>·</x:v>
      </x:c>
      <x:c r="I6" s="54" t="str">
        <x:v>·</x:v>
      </x:c>
      <x:c r="J6" s="54" t="str">
        <x:v>·</x:v>
      </x:c>
      <x:c r="K6" s="54" t="str">
        <x:v>·</x:v>
      </x:c>
    </x:row>
    <x:row r="7" ht="35" customHeight="1">
      <x:c r="B7" s="54" t="str">
        <x:v>·</x:v>
      </x:c>
      <x:c r="C7" s="54" t="str">
        <x:v>·</x:v>
      </x:c>
      <x:c r="D7" s="59" t="str">
        <x:v>A1</x:v>
      </x:c>
      <x:c r="E7" s="54" t="str">
        <x:v>·</x:v>
      </x:c>
      <x:c r="F7" s="59" t="str">
        <x:v>B1</x:v>
      </x:c>
      <x:c r="G7" s="54" t="str">
        <x:v>·</x:v>
      </x:c>
      <x:c r="H7" s="59" t="str">
        <x:v>C1</x:v>
      </x:c>
      <x:c r="I7" s="54" t="str">
        <x:v>·</x:v>
      </x:c>
      <x:c r="J7" s="59" t="str">
        <x:v>D1</x:v>
      </x:c>
      <x:c r="K7" s="54" t="str">
        <x:v>·</x:v>
      </x:c>
    </x:row>
    <x:row r="8" ht="35" customHeight="1">
      <x:c r="B8" s="54" t="str">
        <x:v>·</x:v>
      </x:c>
      <x:c r="C8" s="54" t="str">
        <x:v>·</x:v>
      </x:c>
      <x:c r="D8" s="54" t="str">
        <x:v>·</x:v>
      </x:c>
      <x:c r="E8" s="54" t="str">
        <x:v>·</x:v>
      </x:c>
      <x:c r="F8" s="54" t="str">
        <x:v>·</x:v>
      </x:c>
      <x:c r="G8" s="54" t="str">
        <x:v>·</x:v>
      </x:c>
      <x:c r="H8" s="54" t="str">
        <x:v>·</x:v>
      </x:c>
      <x:c r="I8" s="54" t="str">
        <x:v>·</x:v>
      </x:c>
      <x:c r="J8" s="54" t="str">
        <x:v>·</x:v>
      </x:c>
      <x:c r="K8" s="54" t="str">
        <x:v>·</x:v>
      </x:c>
    </x:row>
    <x:row r="9" ht="35" customHeight="1">
      <x:c r="B9" s="54" t="str">
        <x:v>·</x:v>
      </x:c>
      <x:c r="C9" s="54" t="str">
        <x:v>·</x:v>
      </x:c>
      <x:c r="D9" s="59" t="str">
        <x:v>A2</x:v>
      </x:c>
      <x:c r="E9" s="54" t="str">
        <x:v>·</x:v>
      </x:c>
      <x:c r="F9" s="59" t="str">
        <x:v>B2</x:v>
      </x:c>
      <x:c r="G9" s="54" t="str">
        <x:v>·</x:v>
      </x:c>
      <x:c r="H9" s="59" t="str">
        <x:v>C2</x:v>
      </x:c>
      <x:c r="I9" s="54" t="str">
        <x:v>·</x:v>
      </x:c>
      <x:c r="J9" s="59" t="str">
        <x:v>D2</x:v>
      </x:c>
      <x:c r="K9" s="54" t="str">
        <x:v>·</x:v>
      </x:c>
    </x:row>
    <x:row r="10" ht="35" customHeight="1">
      <x:c r="B10" s="54" t="str">
        <x:v>·</x:v>
      </x:c>
      <x:c r="C10" s="54" t="str">
        <x:v>·</x:v>
      </x:c>
      <x:c r="D10" s="54" t="str">
        <x:v>·</x:v>
      </x:c>
      <x:c r="E10" s="54" t="str">
        <x:v>·</x:v>
      </x:c>
      <x:c r="F10" s="54" t="str">
        <x:v>·</x:v>
      </x:c>
      <x:c r="G10" s="54" t="str">
        <x:v>·</x:v>
      </x:c>
      <x:c r="H10" s="54" t="str">
        <x:v>·</x:v>
      </x:c>
      <x:c r="I10" s="54" t="str">
        <x:v>·</x:v>
      </x:c>
      <x:c r="J10" s="54" t="str">
        <x:v>·</x:v>
      </x:c>
      <x:c r="K10" s="54" t="str">
        <x:v>·</x:v>
      </x:c>
    </x:row>
    <x:row r="11" ht="35" customHeight="1">
      <x:c r="B11" s="54" t="str">
        <x:v>·</x:v>
      </x:c>
      <x:c r="C11" s="54" t="str">
        <x:v>·</x:v>
      </x:c>
      <x:c r="D11" s="54" t="str">
        <x:v>·</x:v>
      </x:c>
      <x:c r="E11" s="54" t="str">
        <x:v>·</x:v>
      </x:c>
      <x:c r="F11" s="54" t="str">
        <x:v>·</x:v>
      </x:c>
      <x:c r="G11" s="54" t="str">
        <x:v>·</x:v>
      </x:c>
      <x:c r="H11" s="54" t="str">
        <x:v>·</x:v>
      </x:c>
      <x:c r="I11" s="54" t="str">
        <x:v>·</x:v>
      </x:c>
      <x:c r="J11" s="54" t="str">
        <x:v>·</x:v>
      </x:c>
      <x:c r="K11" s="54" t="str">
        <x:v>·</x:v>
      </x:c>
    </x:row>
    <x:row r="12" ht="35" customHeight="1">
      <x:c r="B12" s="54" t="str">
        <x:v>·</x:v>
      </x:c>
      <x:c r="C12" s="63" t="str">
        <x:v>ENTRY</x:v>
      </x:c>
      <x:c r="D12" s="54" t="str">
        <x:v>·</x:v>
      </x:c>
      <x:c r="E12" s="54" t="str">
        <x:v>·</x:v>
      </x:c>
      <x:c r="F12" s="54" t="str">
        <x:v>·</x:v>
      </x:c>
      <x:c r="G12" s="54" t="str">
        <x:v>·</x:v>
      </x:c>
      <x:c r="H12" s="54" t="str">
        <x:v>·</x:v>
      </x:c>
      <x:c r="I12" s="54" t="str">
        <x:v>·</x:v>
      </x:c>
      <x:c r="J12" s="67" t="str">
        <x:v>PAY</x:v>
      </x:c>
      <x:c r="K12" s="54" t="str">
        <x:v>·</x:v>
      </x:c>
    </x:row>
    <x:row r="14" ht="25" customHeight="1">
      <x:c r="B14" s="8" t="str">
        <x:v>Walk on open cells (·). Choose shelf IDs from shopping list; route is a future app feature.</x:v>
      </x:c>
      <x:c r="C14" s="8"/>
      <x:c r="D14" s="8"/>
      <x:c r="E14" s="8"/>
      <x:c r="F14" s="8"/>
      <x:c r="G14" s="8"/>
      <x:c r="H14" s="8"/>
      <x:c r="I14" s="8"/>
      <x:c r="J14" s="8"/>
      <x:c r="K14" s="8"/>
    </x:row>
    <x:row r="16">
      <x:c r="B16" t="str">
        <x:v>A1/A2</x:v>
      </x:c>
      <x:c r="C16" t="str">
        <x:v>Pantry</x:v>
      </x:c>
      <x:c r="E16" t="str">
        <x:v>B1/B2</x:v>
      </x:c>
      <x:c r="F16" t="str">
        <x:v>Snacks</x:v>
      </x:c>
      <x:c r="H16" t="str">
        <x:v>C1/C2</x:v>
      </x:c>
      <x:c r="I16" t="str">
        <x:v>Beverages</x:v>
      </x:c>
      <x:c r="J16" t="str">
        <x:v>D1/D2</x:v>
      </x:c>
      <x:c r="K16" t="str">
        <x:v>Cooking / Dairy</x:v>
      </x:c>
    </x:row>
    <x:row r="18" ht="25" customHeight="1">
      <x:c r="B18" s="36" t="str">
        <x:v>The app can draw a highlighted walking path once owner confirms the real shelf positions and walkable aisle cells.</x:v>
      </x:c>
      <x:c r="C18" s="36"/>
      <x:c r="D18" s="36"/>
      <x:c r="E18" s="36"/>
      <x:c r="F18" s="36"/>
      <x:c r="G18" s="36"/>
      <x:c r="H18" s="36"/>
      <x:c r="I18" s="36"/>
      <x:c r="J18" s="36"/>
      <x:c r="K18" s="36"/>
    </x:row>
    <x:row r="19" ht="25" customHeight="1"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</x:row>
  </x:sheetData>
  <x:mergeCells>
    <x:mergeCell ref="A1:L2"/>
    <x:mergeCell ref="A3:L3"/>
    <x:mergeCell ref="B14:K14"/>
    <x:mergeCell ref="B18:K19"/>
  </x:mergeCells>
  <x:pageMargins left="0.7" right="0.7" top="0.75" bottom="0.75" header="0.3" footer="0.3"/>
</x:worksheet>
</file>